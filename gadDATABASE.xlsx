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OneDrive\Documents\Streamlit Development\gad\"/>
    </mc:Choice>
  </mc:AlternateContent>
  <xr:revisionPtr revIDLastSave="0" documentId="13_ncr:1_{9870CF8F-0525-45C1-8497-8FEFAD3C3FAB}" xr6:coauthVersionLast="47" xr6:coauthVersionMax="47" xr10:uidLastSave="{00000000-0000-0000-0000-000000000000}"/>
  <bookViews>
    <workbookView xWindow="-120" yWindow="-120" windowWidth="29040" windowHeight="15720" tabRatio="842" activeTab="1" xr2:uid="{2D251412-1F59-45D0-B5BE-0BA11BB46320}"/>
  </bookViews>
  <sheets>
    <sheet name="overall" sheetId="3" r:id="rId1"/>
    <sheet name="engineer" sheetId="23" r:id="rId2"/>
    <sheet name="city_vice_mayor" sheetId="22" r:id="rId3"/>
    <sheet name="sds" sheetId="21" r:id="rId4"/>
    <sheet name="city_planning" sheetId="20" r:id="rId5"/>
    <sheet name="building_official" sheetId="19" r:id="rId6"/>
    <sheet name="public_service" sheetId="18" r:id="rId7"/>
    <sheet name="local_registrar" sheetId="17" r:id="rId8"/>
    <sheet name="human_resource" sheetId="16" r:id="rId9"/>
    <sheet name="general_services" sheetId="15" r:id="rId10"/>
    <sheet name="treasurers" sheetId="14" r:id="rId11"/>
    <sheet name="social" sheetId="13" r:id="rId12"/>
    <sheet name="legal" sheetId="12" r:id="rId13"/>
    <sheet name="health" sheetId="11" r:id="rId14"/>
    <sheet name="economic" sheetId="10" r:id="rId15"/>
    <sheet name="disaster" sheetId="9" r:id="rId16"/>
    <sheet name="budget" sheetId="8" r:id="rId17"/>
    <sheet name="city_mayor" sheetId="1" r:id="rId18"/>
    <sheet name="sangguniang_panglungsod" sheetId="2" r:id="rId19"/>
    <sheet name="accounting" sheetId="4" r:id="rId20"/>
    <sheet name="administrator" sheetId="5" r:id="rId21"/>
    <sheet name="assessors" sheetId="6" r:id="rId22"/>
    <sheet name="agriculture" sheetId="7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3" l="1"/>
  <c r="D3" i="2"/>
  <c r="D4" i="13"/>
  <c r="D3" i="13"/>
  <c r="D3" i="3"/>
  <c r="D2" i="22"/>
  <c r="C23" i="3"/>
  <c r="B23" i="3"/>
  <c r="D23" i="3" s="1"/>
  <c r="D2" i="21"/>
  <c r="D22" i="3"/>
  <c r="D2" i="20"/>
  <c r="C21" i="3"/>
  <c r="B21" i="3"/>
  <c r="D21" i="3" s="1"/>
  <c r="D2" i="19"/>
  <c r="C20" i="3"/>
  <c r="D20" i="3" s="1"/>
  <c r="B20" i="3"/>
  <c r="D2" i="18"/>
  <c r="D19" i="3"/>
  <c r="D2" i="17"/>
  <c r="C18" i="3"/>
  <c r="D18" i="3" s="1"/>
  <c r="B18" i="3"/>
  <c r="D2" i="16"/>
  <c r="C17" i="3"/>
  <c r="D17" i="3" s="1"/>
  <c r="B17" i="3"/>
  <c r="D2" i="15"/>
  <c r="C16" i="3"/>
  <c r="B16" i="3"/>
  <c r="D16" i="3" s="1"/>
  <c r="D2" i="14"/>
  <c r="C15" i="3"/>
  <c r="B15" i="3"/>
  <c r="D15" i="3" s="1"/>
  <c r="D2" i="13"/>
  <c r="D2" i="12"/>
  <c r="D14" i="3"/>
  <c r="D2" i="11"/>
  <c r="D13" i="3"/>
  <c r="D12" i="3"/>
  <c r="D11" i="3"/>
  <c r="D2" i="10"/>
  <c r="C10" i="3"/>
  <c r="B10" i="3"/>
  <c r="D2" i="9"/>
  <c r="D9" i="3"/>
  <c r="D2" i="8"/>
  <c r="C8" i="3"/>
  <c r="B8" i="3"/>
  <c r="D8" i="3" s="1"/>
  <c r="D2" i="7"/>
  <c r="D6" i="3"/>
  <c r="C7" i="3"/>
  <c r="B7" i="3"/>
  <c r="D7" i="3" s="1"/>
  <c r="D2" i="6"/>
  <c r="D2" i="5"/>
  <c r="C5" i="3"/>
  <c r="D5" i="3" s="1"/>
  <c r="B5" i="3"/>
  <c r="D2" i="4"/>
  <c r="C4" i="3"/>
  <c r="B4" i="3"/>
  <c r="C2" i="3"/>
  <c r="B2" i="3"/>
  <c r="D2" i="2"/>
  <c r="D2" i="1"/>
  <c r="D10" i="3" l="1"/>
  <c r="D2" i="3"/>
  <c r="D4" i="3"/>
</calcChain>
</file>

<file path=xl/sharedStrings.xml><?xml version="1.0" encoding="utf-8"?>
<sst xmlns="http://schemas.openxmlformats.org/spreadsheetml/2006/main" count="162" uniqueCount="31">
  <si>
    <t>MALE</t>
  </si>
  <si>
    <t>FEMALE</t>
  </si>
  <si>
    <t>YEAR</t>
  </si>
  <si>
    <t>TOTAL</t>
  </si>
  <si>
    <t>REGULAR</t>
  </si>
  <si>
    <t>OCM</t>
  </si>
  <si>
    <t>SP</t>
  </si>
  <si>
    <t>CAO</t>
  </si>
  <si>
    <t>OCA</t>
  </si>
  <si>
    <t>CAFO</t>
  </si>
  <si>
    <t>ACCT</t>
  </si>
  <si>
    <t>CBO</t>
  </si>
  <si>
    <t>CDRRMO</t>
  </si>
  <si>
    <t>CEEDO</t>
  </si>
  <si>
    <t>CEO</t>
  </si>
  <si>
    <t>CHO</t>
  </si>
  <si>
    <t>LEGAL</t>
  </si>
  <si>
    <t>CSWD</t>
  </si>
  <si>
    <t>INDICATOR</t>
  </si>
  <si>
    <t>CTO</t>
  </si>
  <si>
    <t>GSO</t>
  </si>
  <si>
    <t>HRMO</t>
  </si>
  <si>
    <t>LCR</t>
  </si>
  <si>
    <t>OCPS</t>
  </si>
  <si>
    <t>OBO</t>
  </si>
  <si>
    <t>OCPDC</t>
  </si>
  <si>
    <t>OSDS</t>
  </si>
  <si>
    <t>CVM</t>
  </si>
  <si>
    <t>PWD REGULAR EMPLOYEE</t>
  </si>
  <si>
    <t>PWD CHILDREN</t>
  </si>
  <si>
    <t>JOB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</si>
</sst>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C86F8-3DFA-46A9-B962-1297EC871EA5}">
  <dimension ref="A1:E23"/>
  <sheetViews>
    <sheetView workbookViewId="0">
      <selection activeCell="J15" sqref="J15"/>
    </sheetView>
  </sheetViews>
  <sheetFormatPr defaultRowHeight="14.25"/>
  <cols>
    <col min="1" max="1" width="10.75" bestFit="1" customWidth="1"/>
  </cols>
  <sheetData>
    <row r="1" spans="1:5">
      <c r="A1" t="s">
        <v>18</v>
      </c>
      <c r="B1" t="s">
        <v>0</v>
      </c>
      <c r="C1" t="s">
        <v>1</v>
      </c>
      <c r="D1" t="s">
        <v>3</v>
      </c>
      <c r="E1" t="s">
        <v>2</v>
      </c>
    </row>
    <row r="2" spans="1:5">
      <c r="A2" t="s">
        <v>5</v>
      </c>
      <c r="B2">
        <f>city_mayor!B2</f>
        <v>22</v>
      </c>
      <c r="C2">
        <f>city_mayor!C2</f>
        <v>20</v>
      </c>
      <c r="D2">
        <f>B2+C2</f>
        <v>42</v>
      </c>
      <c r="E2">
        <v>2024</v>
      </c>
    </row>
    <row r="3" spans="1:5">
      <c r="A3" t="s">
        <v>27</v>
      </c>
      <c r="B3">
        <v>0</v>
      </c>
      <c r="C3">
        <v>2</v>
      </c>
      <c r="D3">
        <f>B3+C3</f>
        <v>2</v>
      </c>
      <c r="E3">
        <v>2024</v>
      </c>
    </row>
    <row r="4" spans="1:5">
      <c r="A4" t="s">
        <v>6</v>
      </c>
      <c r="B4">
        <f>sangguniang_panglungsod!B2</f>
        <v>10</v>
      </c>
      <c r="C4">
        <f>sangguniang_panglungsod!C2</f>
        <v>18</v>
      </c>
      <c r="D4">
        <f t="shared" ref="D4:D7" si="0">B4+C4</f>
        <v>28</v>
      </c>
      <c r="E4">
        <v>2024</v>
      </c>
    </row>
    <row r="5" spans="1:5">
      <c r="A5" t="s">
        <v>10</v>
      </c>
      <c r="B5">
        <f>accounting!B2</f>
        <v>9</v>
      </c>
      <c r="C5">
        <f>accounting!C2</f>
        <v>15</v>
      </c>
      <c r="D5">
        <f t="shared" si="0"/>
        <v>24</v>
      </c>
      <c r="E5">
        <v>2024</v>
      </c>
    </row>
    <row r="6" spans="1:5">
      <c r="A6" t="s">
        <v>8</v>
      </c>
      <c r="B6">
        <v>0</v>
      </c>
      <c r="C6">
        <v>1</v>
      </c>
      <c r="D6">
        <f t="shared" si="0"/>
        <v>1</v>
      </c>
      <c r="E6">
        <v>2024</v>
      </c>
    </row>
    <row r="7" spans="1:5">
      <c r="A7" t="s">
        <v>7</v>
      </c>
      <c r="B7">
        <f>assessors!B2</f>
        <v>4</v>
      </c>
      <c r="C7">
        <f>assessors!C2</f>
        <v>8</v>
      </c>
      <c r="D7">
        <f t="shared" si="0"/>
        <v>12</v>
      </c>
      <c r="E7">
        <v>2024</v>
      </c>
    </row>
    <row r="8" spans="1:5">
      <c r="A8" t="s">
        <v>9</v>
      </c>
      <c r="B8">
        <f>agriculture!B2</f>
        <v>21</v>
      </c>
      <c r="C8">
        <f>agriculture!C2</f>
        <v>29</v>
      </c>
      <c r="D8">
        <f t="shared" ref="D8:D17" si="1">B8+C8</f>
        <v>50</v>
      </c>
      <c r="E8">
        <v>2024</v>
      </c>
    </row>
    <row r="9" spans="1:5">
      <c r="A9" t="s">
        <v>11</v>
      </c>
      <c r="B9">
        <v>5</v>
      </c>
      <c r="C9">
        <v>6</v>
      </c>
      <c r="D9">
        <f t="shared" si="1"/>
        <v>11</v>
      </c>
      <c r="E9">
        <v>2024</v>
      </c>
    </row>
    <row r="10" spans="1:5">
      <c r="A10" t="s">
        <v>12</v>
      </c>
      <c r="B10">
        <f>disaster!B2</f>
        <v>2</v>
      </c>
      <c r="C10">
        <f>disaster!C2</f>
        <v>1</v>
      </c>
      <c r="D10">
        <f t="shared" si="1"/>
        <v>3</v>
      </c>
      <c r="E10">
        <v>2024</v>
      </c>
    </row>
    <row r="11" spans="1:5">
      <c r="A11" t="s">
        <v>13</v>
      </c>
      <c r="B11">
        <v>23</v>
      </c>
      <c r="C11">
        <v>7</v>
      </c>
      <c r="D11">
        <f t="shared" si="1"/>
        <v>30</v>
      </c>
      <c r="E11">
        <v>2024</v>
      </c>
    </row>
    <row r="12" spans="1:5">
      <c r="A12" t="s">
        <v>14</v>
      </c>
      <c r="B12">
        <v>56</v>
      </c>
      <c r="C12">
        <v>18</v>
      </c>
      <c r="D12">
        <f t="shared" si="1"/>
        <v>74</v>
      </c>
      <c r="E12">
        <v>2024</v>
      </c>
    </row>
    <row r="13" spans="1:5">
      <c r="A13" t="s">
        <v>15</v>
      </c>
      <c r="B13">
        <v>9</v>
      </c>
      <c r="C13">
        <v>27</v>
      </c>
      <c r="D13">
        <f t="shared" si="1"/>
        <v>36</v>
      </c>
      <c r="E13">
        <v>2024</v>
      </c>
    </row>
    <row r="14" spans="1:5">
      <c r="A14" t="s">
        <v>16</v>
      </c>
      <c r="B14">
        <v>1</v>
      </c>
      <c r="C14">
        <v>0</v>
      </c>
      <c r="D14">
        <f t="shared" si="1"/>
        <v>1</v>
      </c>
      <c r="E14">
        <v>2024</v>
      </c>
    </row>
    <row r="15" spans="1:5">
      <c r="A15" t="s">
        <v>17</v>
      </c>
      <c r="B15">
        <f>social!B2</f>
        <v>4</v>
      </c>
      <c r="C15">
        <f>social!C2</f>
        <v>11</v>
      </c>
      <c r="D15">
        <f t="shared" si="1"/>
        <v>15</v>
      </c>
      <c r="E15">
        <v>2024</v>
      </c>
    </row>
    <row r="16" spans="1:5">
      <c r="A16" t="s">
        <v>19</v>
      </c>
      <c r="B16">
        <f>treasurers!B2</f>
        <v>13</v>
      </c>
      <c r="C16">
        <f>treasurers!C2</f>
        <v>22</v>
      </c>
      <c r="D16">
        <f t="shared" si="1"/>
        <v>35</v>
      </c>
      <c r="E16">
        <v>2024</v>
      </c>
    </row>
    <row r="17" spans="1:5">
      <c r="A17" t="s">
        <v>20</v>
      </c>
      <c r="B17">
        <f>general_services!B2</f>
        <v>23</v>
      </c>
      <c r="C17">
        <f>general_services!C2</f>
        <v>10</v>
      </c>
      <c r="D17">
        <f t="shared" si="1"/>
        <v>33</v>
      </c>
      <c r="E17">
        <v>2024</v>
      </c>
    </row>
    <row r="18" spans="1:5">
      <c r="A18" t="s">
        <v>21</v>
      </c>
      <c r="B18">
        <f>human_resource!B2</f>
        <v>6</v>
      </c>
      <c r="C18">
        <f>human_resource!C2</f>
        <v>10</v>
      </c>
      <c r="D18">
        <f t="shared" ref="D18:D23" si="2">B18+C18</f>
        <v>16</v>
      </c>
      <c r="E18">
        <v>2024</v>
      </c>
    </row>
    <row r="19" spans="1:5">
      <c r="A19" t="s">
        <v>22</v>
      </c>
      <c r="B19">
        <v>2</v>
      </c>
      <c r="C19">
        <v>5</v>
      </c>
      <c r="D19">
        <f t="shared" si="2"/>
        <v>7</v>
      </c>
      <c r="E19">
        <v>2024</v>
      </c>
    </row>
    <row r="20" spans="1:5">
      <c r="A20" t="s">
        <v>23</v>
      </c>
      <c r="B20">
        <f>public_service!B2</f>
        <v>72</v>
      </c>
      <c r="C20">
        <f>public_service!C2</f>
        <v>9</v>
      </c>
      <c r="D20">
        <f t="shared" si="2"/>
        <v>81</v>
      </c>
      <c r="E20">
        <v>2024</v>
      </c>
    </row>
    <row r="21" spans="1:5">
      <c r="A21" t="s">
        <v>24</v>
      </c>
      <c r="B21">
        <f>building_official!B2</f>
        <v>10</v>
      </c>
      <c r="C21">
        <f>building_official!C2</f>
        <v>1</v>
      </c>
      <c r="D21">
        <f t="shared" si="2"/>
        <v>11</v>
      </c>
      <c r="E21">
        <v>2024</v>
      </c>
    </row>
    <row r="22" spans="1:5">
      <c r="A22" t="s">
        <v>25</v>
      </c>
      <c r="B22">
        <v>4</v>
      </c>
      <c r="C22">
        <v>7</v>
      </c>
      <c r="D22">
        <f t="shared" si="2"/>
        <v>11</v>
      </c>
      <c r="E22">
        <v>2024</v>
      </c>
    </row>
    <row r="23" spans="1:5">
      <c r="A23" t="s">
        <v>26</v>
      </c>
      <c r="B23">
        <f>sds!B2</f>
        <v>2</v>
      </c>
      <c r="C23">
        <f>sds!C2</f>
        <v>1</v>
      </c>
      <c r="D23">
        <f t="shared" si="2"/>
        <v>3</v>
      </c>
      <c r="E23">
        <v>2024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713A-F7E4-4651-88B4-4FC1C0A5F42F}">
  <dimension ref="A1:E2"/>
  <sheetViews>
    <sheetView tabSelected="1" workbookViewId="0">
      <selection activeCell="F18" sqref="F18"/>
    </sheetView>
  </sheetViews>
  <sheetFormatPr defaultRowHeight="14.25"/>
  <sheetData>
    <row r="1" spans="1:5">
      <c r="A1" t="s">
        <v>18</v>
      </c>
      <c r="B1" t="s">
        <v>0</v>
      </c>
      <c r="C1" t="s">
        <v>1</v>
      </c>
      <c r="D1" t="s">
        <v>3</v>
      </c>
      <c r="E1" t="s">
        <v>2</v>
      </c>
    </row>
    <row r="2" spans="1:5">
      <c r="A2" t="s">
        <v>4</v>
      </c>
      <c r="B2">
        <v>56</v>
      </c>
      <c r="C2">
        <v>18</v>
      </c>
      <c r="D2">
        <f t="shared" ref="D2" si="0">B2+C2</f>
        <v>74</v>
      </c>
      <c r="E2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BB935-2670-481A-86A5-3EE025250E83}">
  <dimension ref="A1:E2"/>
  <sheetViews>
    <sheetView workbookViewId="0">
      <selection activeCell="A2" sqref="A2"/>
    </sheetView>
  </sheetViews>
  <sheetFormatPr defaultRowHeight="14.25"/>
  <cols>
    <col min="1" max="1" width="16.875" customWidth="1"/>
    <col min="2" max="2" width="11.625" customWidth="1"/>
    <col min="3" max="3" width="17.25" customWidth="1"/>
    <col min="4" max="4" width="10.875" customWidth="1"/>
    <col min="5" max="5" width="12" customWidth="1"/>
  </cols>
  <sheetData>
    <row r="1" spans="1:5">
      <c r="A1" t="s">
        <v>18</v>
      </c>
      <c r="B1" t="s">
        <v>0</v>
      </c>
      <c r="C1" t="s">
        <v>1</v>
      </c>
      <c r="D1" t="s">
        <v>3</v>
      </c>
      <c r="E1" t="s">
        <v>2</v>
      </c>
    </row>
    <row r="2" spans="1:5">
      <c r="A2" t="s">
        <v>4</v>
      </c>
      <c r="C2">
        <v>2</v>
      </c>
      <c r="D2">
        <f>B2+C2</f>
        <v>2</v>
      </c>
      <c r="E2"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86D8F-D29F-4AEA-8915-CCB6FD63197F}">
  <dimension ref="A1:E2"/>
  <sheetViews>
    <sheetView workbookViewId="0">
      <selection activeCell="G13" sqref="G13"/>
    </sheetView>
  </sheetViews>
  <sheetFormatPr defaultRowHeight="14.25"/>
  <sheetData>
    <row r="1" spans="1:5">
      <c r="A1" t="s">
        <v>18</v>
      </c>
      <c r="B1" t="s">
        <v>0</v>
      </c>
      <c r="C1" t="s">
        <v>1</v>
      </c>
      <c r="D1" t="s">
        <v>3</v>
      </c>
      <c r="E1" t="s">
        <v>2</v>
      </c>
    </row>
    <row r="2" spans="1:5">
      <c r="A2" t="s">
        <v>4</v>
      </c>
      <c r="B2">
        <v>2</v>
      </c>
      <c r="C2">
        <v>1</v>
      </c>
      <c r="D2">
        <f>B2+C2</f>
        <v>3</v>
      </c>
      <c r="E2">
        <v>2024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DA5D8-7E53-486E-A401-019CD0B3849D}">
  <dimension ref="A1:E2"/>
  <sheetViews>
    <sheetView workbookViewId="0">
      <selection activeCell="E15" sqref="E15"/>
    </sheetView>
  </sheetViews>
  <sheetFormatPr defaultRowHeight="14.25"/>
  <sheetData>
    <row r="1" spans="1:5">
      <c r="A1" t="s">
        <v>18</v>
      </c>
      <c r="B1" t="s">
        <v>0</v>
      </c>
      <c r="C1" t="s">
        <v>1</v>
      </c>
      <c r="D1" t="s">
        <v>3</v>
      </c>
      <c r="E1" t="s">
        <v>2</v>
      </c>
    </row>
    <row r="2" spans="1:5">
      <c r="A2" t="s">
        <v>4</v>
      </c>
      <c r="B2">
        <v>4</v>
      </c>
      <c r="C2">
        <v>7</v>
      </c>
      <c r="D2">
        <f>B2+C2</f>
        <v>11</v>
      </c>
      <c r="E2">
        <v>2024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16024-0FE1-4B64-B755-B83A2CE845FF}">
  <dimension ref="A1:E2"/>
  <sheetViews>
    <sheetView zoomScale="242" zoomScaleNormal="242" workbookViewId="0">
      <selection activeCell="C5" sqref="C5"/>
    </sheetView>
  </sheetViews>
  <sheetFormatPr defaultRowHeight="14.25"/>
  <sheetData>
    <row r="1" spans="1:5">
      <c r="A1" t="s">
        <v>18</v>
      </c>
      <c r="B1" t="s">
        <v>0</v>
      </c>
      <c r="C1" t="s">
        <v>1</v>
      </c>
      <c r="D1" t="s">
        <v>3</v>
      </c>
      <c r="E1" t="s">
        <v>2</v>
      </c>
    </row>
    <row r="2" spans="1:5">
      <c r="A2" t="s">
        <v>4</v>
      </c>
      <c r="B2">
        <v>10</v>
      </c>
      <c r="C2">
        <v>1</v>
      </c>
      <c r="D2">
        <f>B2+C2</f>
        <v>11</v>
      </c>
      <c r="E2">
        <v>2024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AC3A-C5EF-4473-9693-3D3579D3C7F3}">
  <dimension ref="A1:E2"/>
  <sheetViews>
    <sheetView workbookViewId="0">
      <selection sqref="A1:E2"/>
    </sheetView>
  </sheetViews>
  <sheetFormatPr defaultRowHeight="14.25"/>
  <cols>
    <col min="1" max="1" width="10.75" bestFit="1" customWidth="1"/>
  </cols>
  <sheetData>
    <row r="1" spans="1:5">
      <c r="A1" t="s">
        <v>18</v>
      </c>
      <c r="B1" t="s">
        <v>0</v>
      </c>
      <c r="C1" t="s">
        <v>1</v>
      </c>
      <c r="D1" t="s">
        <v>3</v>
      </c>
      <c r="E1" t="s">
        <v>2</v>
      </c>
    </row>
    <row r="2" spans="1:5">
      <c r="A2" t="s">
        <v>4</v>
      </c>
      <c r="B2">
        <v>72</v>
      </c>
      <c r="C2">
        <v>9</v>
      </c>
      <c r="D2">
        <f>B2+C2</f>
        <v>81</v>
      </c>
      <c r="E2">
        <v>2024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9E6EB-4606-47B8-B0A6-AE6ABAE138FA}">
  <dimension ref="A1:E2"/>
  <sheetViews>
    <sheetView workbookViewId="0">
      <selection activeCell="E2" sqref="A1:E2"/>
    </sheetView>
  </sheetViews>
  <sheetFormatPr defaultRowHeight="14.25"/>
  <sheetData>
    <row r="1" spans="1:5">
      <c r="A1" t="s">
        <v>18</v>
      </c>
      <c r="B1" t="s">
        <v>0</v>
      </c>
      <c r="C1" t="s">
        <v>1</v>
      </c>
      <c r="D1" t="s">
        <v>3</v>
      </c>
      <c r="E1" t="s">
        <v>2</v>
      </c>
    </row>
    <row r="2" spans="1:5">
      <c r="A2" t="s">
        <v>4</v>
      </c>
      <c r="B2">
        <v>2</v>
      </c>
      <c r="C2">
        <v>5</v>
      </c>
      <c r="D2">
        <f>B2+C2</f>
        <v>7</v>
      </c>
      <c r="E2">
        <v>2024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5B1E-99B8-4009-8D56-6B2E53C23C80}">
  <dimension ref="A1:E2"/>
  <sheetViews>
    <sheetView zoomScale="180" zoomScaleNormal="180" workbookViewId="0">
      <selection activeCell="E6" sqref="E6"/>
    </sheetView>
  </sheetViews>
  <sheetFormatPr defaultRowHeight="14.25"/>
  <cols>
    <col min="1" max="1" width="10" bestFit="1" customWidth="1"/>
  </cols>
  <sheetData>
    <row r="1" spans="1:5">
      <c r="A1" t="s">
        <v>18</v>
      </c>
      <c r="B1" t="s">
        <v>0</v>
      </c>
      <c r="C1" t="s">
        <v>1</v>
      </c>
      <c r="D1" t="s">
        <v>3</v>
      </c>
      <c r="E1" t="s">
        <v>2</v>
      </c>
    </row>
    <row r="2" spans="1:5">
      <c r="A2" t="s">
        <v>4</v>
      </c>
      <c r="B2">
        <v>6</v>
      </c>
      <c r="C2">
        <v>10</v>
      </c>
      <c r="D2">
        <f>B2+C2</f>
        <v>16</v>
      </c>
      <c r="E2">
        <v>2024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1D208-71E1-4E6E-BC70-CED5101A71F5}">
  <dimension ref="A1:E2"/>
  <sheetViews>
    <sheetView workbookViewId="0">
      <selection activeCell="E2" sqref="A1:E2"/>
    </sheetView>
  </sheetViews>
  <sheetFormatPr defaultRowHeight="14.25"/>
  <sheetData>
    <row r="1" spans="1:5">
      <c r="A1" t="s">
        <v>18</v>
      </c>
      <c r="B1" t="s">
        <v>0</v>
      </c>
      <c r="C1" t="s">
        <v>1</v>
      </c>
      <c r="D1" t="s">
        <v>3</v>
      </c>
      <c r="E1" t="s">
        <v>2</v>
      </c>
    </row>
    <row r="2" spans="1:5">
      <c r="A2" t="s">
        <v>4</v>
      </c>
      <c r="B2">
        <v>23</v>
      </c>
      <c r="C2">
        <v>10</v>
      </c>
      <c r="D2">
        <f>B2+C2</f>
        <v>33</v>
      </c>
      <c r="E2">
        <v>2024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1BD0-8549-49F8-B07C-635C1822ABBA}">
  <dimension ref="A1:E2"/>
  <sheetViews>
    <sheetView workbookViewId="0">
      <selection activeCell="E2" sqref="A1:E2"/>
    </sheetView>
  </sheetViews>
  <sheetFormatPr defaultRowHeight="14.25"/>
  <sheetData>
    <row r="1" spans="1:5">
      <c r="A1" t="s">
        <v>18</v>
      </c>
      <c r="B1" t="s">
        <v>0</v>
      </c>
      <c r="C1" t="s">
        <v>1</v>
      </c>
      <c r="D1" t="s">
        <v>3</v>
      </c>
      <c r="E1" t="s">
        <v>2</v>
      </c>
    </row>
    <row r="2" spans="1:5">
      <c r="A2" t="s">
        <v>4</v>
      </c>
      <c r="B2">
        <v>13</v>
      </c>
      <c r="C2">
        <v>22</v>
      </c>
      <c r="D2">
        <f>B2+C2</f>
        <v>35</v>
      </c>
      <c r="E2">
        <v>2024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7B35-1FA0-4262-A9CC-130A4EF9ADEF}">
  <dimension ref="A1:E4"/>
  <sheetViews>
    <sheetView zoomScale="160" zoomScaleNormal="160" workbookViewId="0">
      <selection activeCell="F1" sqref="F1"/>
    </sheetView>
  </sheetViews>
  <sheetFormatPr defaultRowHeight="14.25"/>
  <cols>
    <col min="1" max="1" width="25.625" bestFit="1" customWidth="1"/>
  </cols>
  <sheetData>
    <row r="1" spans="1:5">
      <c r="A1" t="s">
        <v>18</v>
      </c>
      <c r="B1" t="s">
        <v>0</v>
      </c>
      <c r="C1" t="s">
        <v>1</v>
      </c>
      <c r="D1" t="s">
        <v>3</v>
      </c>
      <c r="E1" t="s">
        <v>2</v>
      </c>
    </row>
    <row r="2" spans="1:5">
      <c r="A2" t="s">
        <v>4</v>
      </c>
      <c r="B2">
        <v>4</v>
      </c>
      <c r="C2">
        <v>11</v>
      </c>
      <c r="D2">
        <f>B2+C2</f>
        <v>15</v>
      </c>
      <c r="E2">
        <v>2024</v>
      </c>
    </row>
    <row r="3" spans="1:5">
      <c r="A3" t="s">
        <v>28</v>
      </c>
      <c r="B3">
        <v>22</v>
      </c>
      <c r="C3">
        <v>21</v>
      </c>
      <c r="D3">
        <f>B3+C3</f>
        <v>43</v>
      </c>
      <c r="E3">
        <v>2024</v>
      </c>
    </row>
    <row r="4" spans="1:5">
      <c r="A4" t="s">
        <v>29</v>
      </c>
      <c r="B4">
        <v>146</v>
      </c>
      <c r="C4">
        <v>90</v>
      </c>
      <c r="D4">
        <f>B4+C4</f>
        <v>236</v>
      </c>
      <c r="E4">
        <v>2024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BAA1A-DF83-4DC9-8B98-862C8BA25B26}">
  <dimension ref="A1:E2"/>
  <sheetViews>
    <sheetView workbookViewId="0">
      <selection activeCell="C6" sqref="C6"/>
    </sheetView>
  </sheetViews>
  <sheetFormatPr defaultRowHeight="14.25"/>
  <cols>
    <col min="1" max="1" width="10.75" bestFit="1" customWidth="1"/>
  </cols>
  <sheetData>
    <row r="1" spans="1:5">
      <c r="A1" t="s">
        <v>18</v>
      </c>
      <c r="B1" t="s">
        <v>0</v>
      </c>
      <c r="C1" t="s">
        <v>1</v>
      </c>
      <c r="D1" t="s">
        <v>3</v>
      </c>
      <c r="E1" t="s">
        <v>2</v>
      </c>
    </row>
    <row r="2" spans="1:5">
      <c r="A2" t="s">
        <v>4</v>
      </c>
      <c r="B2">
        <v>1</v>
      </c>
      <c r="C2">
        <v>0</v>
      </c>
      <c r="D2">
        <f>B2+C2</f>
        <v>1</v>
      </c>
      <c r="E2">
        <v>2024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DC07F-BDD3-4700-B92F-F25E5156BD8A}">
  <dimension ref="A1:E2"/>
  <sheetViews>
    <sheetView workbookViewId="0">
      <selection activeCell="E9" sqref="E9"/>
    </sheetView>
  </sheetViews>
  <sheetFormatPr defaultRowHeight="14.25"/>
  <cols>
    <col min="1" max="1" width="10.75" bestFit="1" customWidth="1"/>
  </cols>
  <sheetData>
    <row r="1" spans="1:5">
      <c r="A1" t="s">
        <v>18</v>
      </c>
      <c r="B1" t="s">
        <v>0</v>
      </c>
      <c r="C1" t="s">
        <v>1</v>
      </c>
      <c r="D1" t="s">
        <v>3</v>
      </c>
      <c r="E1" t="s">
        <v>2</v>
      </c>
    </row>
    <row r="2" spans="1:5">
      <c r="A2" t="s">
        <v>4</v>
      </c>
      <c r="B2">
        <v>9</v>
      </c>
      <c r="C2">
        <v>27</v>
      </c>
      <c r="D2">
        <f>B2+C2</f>
        <v>36</v>
      </c>
      <c r="E2">
        <v>2024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E2E9D-7D0F-4BD6-967F-B7C36981C5A0}">
  <dimension ref="A1:E2"/>
  <sheetViews>
    <sheetView workbookViewId="0">
      <selection activeCell="C9" sqref="C9"/>
    </sheetView>
  </sheetViews>
  <sheetFormatPr defaultRowHeight="14.25"/>
  <cols>
    <col min="1" max="1" width="13.375" customWidth="1"/>
  </cols>
  <sheetData>
    <row r="1" spans="1:5">
      <c r="A1" t="s">
        <v>18</v>
      </c>
      <c r="B1" t="s">
        <v>0</v>
      </c>
      <c r="C1" t="s">
        <v>1</v>
      </c>
      <c r="D1" t="s">
        <v>3</v>
      </c>
      <c r="E1" t="s">
        <v>2</v>
      </c>
    </row>
    <row r="2" spans="1:5">
      <c r="A2" t="s">
        <v>4</v>
      </c>
      <c r="B2">
        <v>23</v>
      </c>
      <c r="C2">
        <v>7</v>
      </c>
      <c r="D2">
        <f>B2+C2</f>
        <v>30</v>
      </c>
      <c r="E2">
        <v>2024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07BF0-0B72-43D7-AE00-1EB2E16976C9}">
  <dimension ref="A1:E2"/>
  <sheetViews>
    <sheetView workbookViewId="0">
      <selection activeCell="B7" sqref="B7"/>
    </sheetView>
  </sheetViews>
  <sheetFormatPr defaultRowHeight="14.25"/>
  <sheetData>
    <row r="1" spans="1:5">
      <c r="A1" t="s">
        <v>18</v>
      </c>
      <c r="B1" t="s">
        <v>0</v>
      </c>
      <c r="C1" t="s">
        <v>1</v>
      </c>
      <c r="D1" t="s">
        <v>3</v>
      </c>
      <c r="E1" t="s">
        <v>2</v>
      </c>
    </row>
    <row r="2" spans="1:5">
      <c r="A2" t="s">
        <v>4</v>
      </c>
      <c r="B2">
        <v>2</v>
      </c>
      <c r="C2">
        <v>1</v>
      </c>
      <c r="D2">
        <f>B2+C2</f>
        <v>3</v>
      </c>
      <c r="E2">
        <v>2024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50EC-CABA-4E7B-8732-FCB6D26C4E0C}">
  <dimension ref="A1:E2"/>
  <sheetViews>
    <sheetView workbookViewId="0">
      <selection activeCell="B9" sqref="B9"/>
    </sheetView>
  </sheetViews>
  <sheetFormatPr defaultRowHeight="14.25"/>
  <sheetData>
    <row r="1" spans="1:5">
      <c r="A1" t="s">
        <v>18</v>
      </c>
      <c r="B1" t="s">
        <v>0</v>
      </c>
      <c r="C1" t="s">
        <v>1</v>
      </c>
      <c r="D1" t="s">
        <v>3</v>
      </c>
      <c r="E1" t="s">
        <v>2</v>
      </c>
    </row>
    <row r="2" spans="1:5">
      <c r="A2" t="s">
        <v>4</v>
      </c>
      <c r="B2">
        <v>5</v>
      </c>
      <c r="C2">
        <v>6</v>
      </c>
      <c r="D2">
        <f>B2+C2</f>
        <v>11</v>
      </c>
      <c r="E2">
        <v>2024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7B17-DBB3-47E7-B5CC-07943E05AD53}">
  <dimension ref="A1:E2"/>
  <sheetViews>
    <sheetView workbookViewId="0">
      <selection activeCell="H6" sqref="H6"/>
    </sheetView>
  </sheetViews>
  <sheetFormatPr defaultRowHeight="14.25"/>
  <cols>
    <col min="1" max="1" width="12" customWidth="1"/>
  </cols>
  <sheetData>
    <row r="1" spans="1:5">
      <c r="A1" t="s">
        <v>18</v>
      </c>
      <c r="B1" t="s">
        <v>0</v>
      </c>
      <c r="C1" t="s">
        <v>1</v>
      </c>
      <c r="D1" t="s">
        <v>3</v>
      </c>
      <c r="E1" t="s">
        <v>2</v>
      </c>
    </row>
    <row r="2" spans="1:5">
      <c r="A2" t="s">
        <v>4</v>
      </c>
      <c r="B2">
        <v>22</v>
      </c>
      <c r="C2">
        <v>20</v>
      </c>
      <c r="D2">
        <f>B2+C2</f>
        <v>42</v>
      </c>
      <c r="E2">
        <v>2024</v>
      </c>
    </row>
  </sheetData>
  <pageMargins left="0.7" right="0.7" top="0.75" bottom="0.75" header="0.3" footer="0.3"/>
  <pageSetup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EBB00-AAD7-4E88-917D-7EC9452312DE}">
  <dimension ref="A1:E3"/>
  <sheetViews>
    <sheetView workbookViewId="0">
      <selection activeCell="H4" sqref="H4"/>
    </sheetView>
  </sheetViews>
  <sheetFormatPr defaultRowHeight="14.25"/>
  <sheetData>
    <row r="1" spans="1:5">
      <c r="A1" t="s">
        <v>18</v>
      </c>
      <c r="B1" t="s">
        <v>0</v>
      </c>
      <c r="C1" t="s">
        <v>1</v>
      </c>
      <c r="D1" t="s">
        <v>3</v>
      </c>
      <c r="E1" t="s">
        <v>2</v>
      </c>
    </row>
    <row r="2" spans="1:5">
      <c r="A2" t="s">
        <v>4</v>
      </c>
      <c r="B2">
        <v>10</v>
      </c>
      <c r="C2">
        <v>18</v>
      </c>
      <c r="D2">
        <f>B2+C2</f>
        <v>28</v>
      </c>
      <c r="E2">
        <v>2024</v>
      </c>
    </row>
    <row r="3" spans="1:5">
      <c r="A3" t="s">
        <v>30</v>
      </c>
      <c r="B3">
        <v>21</v>
      </c>
      <c r="C3">
        <v>26</v>
      </c>
      <c r="D3">
        <f>B3+C3</f>
        <v>47</v>
      </c>
      <c r="E3">
        <v>2024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80F7A-DCF8-4BCB-8C83-972039CAEA2D}">
  <dimension ref="A1:E2"/>
  <sheetViews>
    <sheetView workbookViewId="0">
      <selection activeCell="C8" sqref="C8"/>
    </sheetView>
  </sheetViews>
  <sheetFormatPr defaultRowHeight="14.25"/>
  <sheetData>
    <row r="1" spans="1:5">
      <c r="A1" t="s">
        <v>18</v>
      </c>
      <c r="B1" t="s">
        <v>0</v>
      </c>
      <c r="C1" t="s">
        <v>1</v>
      </c>
      <c r="D1" t="s">
        <v>3</v>
      </c>
      <c r="E1" t="s">
        <v>2</v>
      </c>
    </row>
    <row r="2" spans="1:5">
      <c r="A2" t="s">
        <v>4</v>
      </c>
      <c r="B2">
        <v>9</v>
      </c>
      <c r="C2">
        <v>15</v>
      </c>
      <c r="D2">
        <f>B2+C2</f>
        <v>24</v>
      </c>
      <c r="E2">
        <v>2024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77754-ADF5-47DE-A7B8-9060FD08F3CE}">
  <dimension ref="A1:E2"/>
  <sheetViews>
    <sheetView workbookViewId="0">
      <selection activeCell="D28" sqref="D28"/>
    </sheetView>
  </sheetViews>
  <sheetFormatPr defaultRowHeight="14.25"/>
  <sheetData>
    <row r="1" spans="1:5">
      <c r="A1" t="s">
        <v>18</v>
      </c>
      <c r="B1" t="s">
        <v>0</v>
      </c>
      <c r="C1" t="s">
        <v>1</v>
      </c>
      <c r="D1" t="s">
        <v>3</v>
      </c>
      <c r="E1" t="s">
        <v>2</v>
      </c>
    </row>
    <row r="2" spans="1:5">
      <c r="A2" t="s">
        <v>4</v>
      </c>
      <c r="B2">
        <v>0</v>
      </c>
      <c r="C2">
        <v>1</v>
      </c>
      <c r="D2">
        <f>B2+C2</f>
        <v>1</v>
      </c>
      <c r="E2">
        <v>2024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7CEB4-8154-4006-8BD9-F3AC635FE38F}">
  <dimension ref="A1:E2"/>
  <sheetViews>
    <sheetView workbookViewId="0">
      <selection activeCell="C7" sqref="C7"/>
    </sheetView>
  </sheetViews>
  <sheetFormatPr defaultRowHeight="14.25"/>
  <sheetData>
    <row r="1" spans="1:5">
      <c r="A1" t="s">
        <v>18</v>
      </c>
      <c r="B1" t="s">
        <v>0</v>
      </c>
      <c r="C1" t="s">
        <v>1</v>
      </c>
      <c r="D1" t="s">
        <v>3</v>
      </c>
      <c r="E1" t="s">
        <v>2</v>
      </c>
    </row>
    <row r="2" spans="1:5">
      <c r="A2" t="s">
        <v>4</v>
      </c>
      <c r="B2">
        <v>4</v>
      </c>
      <c r="C2">
        <v>8</v>
      </c>
      <c r="D2">
        <f>B2+C2</f>
        <v>12</v>
      </c>
      <c r="E2">
        <v>2024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2FC45-BFC4-47F7-82CE-4F3D245260B4}">
  <dimension ref="A1:E2"/>
  <sheetViews>
    <sheetView workbookViewId="0">
      <selection activeCell="F9" sqref="F9"/>
    </sheetView>
  </sheetViews>
  <sheetFormatPr defaultRowHeight="14.25"/>
  <sheetData>
    <row r="1" spans="1:5">
      <c r="A1" t="s">
        <v>18</v>
      </c>
      <c r="B1" t="s">
        <v>0</v>
      </c>
      <c r="C1" t="s">
        <v>1</v>
      </c>
      <c r="D1" t="s">
        <v>3</v>
      </c>
      <c r="E1" t="s">
        <v>2</v>
      </c>
    </row>
    <row r="2" spans="1:5">
      <c r="A2" t="s">
        <v>4</v>
      </c>
      <c r="B2">
        <v>21</v>
      </c>
      <c r="C2">
        <v>29</v>
      </c>
      <c r="D2">
        <f>B2+C2</f>
        <v>50</v>
      </c>
      <c r="E2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overall</vt:lpstr>
      <vt:lpstr>engineer</vt:lpstr>
      <vt:lpstr>city_vice_mayor</vt:lpstr>
      <vt:lpstr>sds</vt:lpstr>
      <vt:lpstr>city_planning</vt:lpstr>
      <vt:lpstr>building_official</vt:lpstr>
      <vt:lpstr>public_service</vt:lpstr>
      <vt:lpstr>local_registrar</vt:lpstr>
      <vt:lpstr>human_resource</vt:lpstr>
      <vt:lpstr>general_services</vt:lpstr>
      <vt:lpstr>treasurers</vt:lpstr>
      <vt:lpstr>social</vt:lpstr>
      <vt:lpstr>legal</vt:lpstr>
      <vt:lpstr>health</vt:lpstr>
      <vt:lpstr>economic</vt:lpstr>
      <vt:lpstr>disaster</vt:lpstr>
      <vt:lpstr>budget</vt:lpstr>
      <vt:lpstr>city_mayor</vt:lpstr>
      <vt:lpstr>sangguniang_panglungsod</vt:lpstr>
      <vt:lpstr>accounting</vt:lpstr>
      <vt:lpstr>administrator</vt:lpstr>
      <vt:lpstr>assessors</vt:lpstr>
      <vt:lpstr>agriculture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Atay</dc:creator>
  <cp:lastModifiedBy>ASUS TUF</cp:lastModifiedBy>
  <dcterms:created xsi:type="dcterms:W3CDTF">2024-11-05T02:32:17Z</dcterms:created>
  <dcterms:modified xsi:type="dcterms:W3CDTF">2026-03-09T01:48:31Z</dcterms:modified>
</cp:coreProperties>
</file>